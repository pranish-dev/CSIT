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<sst xmlns="http://schemas.openxmlformats.org/spreadsheetml/2006/main" count="29" uniqueCount="22">
  <si>
    <t xml:space="preserve">SN</t>
  </si>
  <si>
    <t xml:space="preserve">Name</t>
  </si>
  <si>
    <t xml:space="preserve">Subject</t>
  </si>
  <si>
    <t xml:space="preserve">IIT</t>
  </si>
  <si>
    <t xml:space="preserve">C Programming</t>
  </si>
  <si>
    <t xml:space="preserve">Digital Logic</t>
  </si>
  <si>
    <t xml:space="preserve">Physic</t>
  </si>
  <si>
    <t xml:space="preserve">Mathematics-I</t>
  </si>
  <si>
    <t xml:space="preserve">Mark Obtained</t>
  </si>
  <si>
    <t xml:space="preserve">Average</t>
  </si>
  <si>
    <t xml:space="preserve">Percentage</t>
  </si>
  <si>
    <t xml:space="preserve">Grade</t>
  </si>
  <si>
    <t xml:space="preserve">Result</t>
  </si>
  <si>
    <t xml:space="preserve">TH </t>
  </si>
  <si>
    <t xml:space="preserve">PR</t>
  </si>
  <si>
    <t xml:space="preserve">TH</t>
  </si>
  <si>
    <t xml:space="preserve">Suman Karki</t>
  </si>
  <si>
    <t xml:space="preserve">Pratima Shrestha</t>
  </si>
  <si>
    <t xml:space="preserve">Rojan Adhikari</t>
  </si>
  <si>
    <t xml:space="preserve">Nisha Thapa</t>
  </si>
  <si>
    <t xml:space="preserve">Gyani Ray</t>
  </si>
  <si>
    <t xml:space="preserve">Bikash Gurung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</si>
</sst>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ptos Narrow"/>
        <charset val="1"/>
        <family val="2"/>
        <color rgb="FF000000"/>
        <sz val="11"/>
      </font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4" activeCellId="0" sqref="Q14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2" min="2" style="0" width="14.89"/>
    <col collapsed="false" customWidth="true" hidden="false" outlineLevel="0" max="3" min="3" style="0" width="5"/>
    <col collapsed="false" customWidth="true" hidden="false" outlineLevel="0" max="4" min="4" style="0" width="4.55"/>
    <col collapsed="false" customWidth="true" hidden="false" outlineLevel="0" max="5" min="5" style="0" width="6.11"/>
    <col collapsed="false" customWidth="true" hidden="false" outlineLevel="0" max="6" min="6" style="0" width="6.89"/>
    <col collapsed="false" customWidth="true" hidden="false" outlineLevel="0" max="7" min="7" style="0" width="5.33"/>
    <col collapsed="false" customWidth="true" hidden="false" outlineLevel="0" max="8" min="8" style="0" width="5.89"/>
    <col collapsed="false" customWidth="true" hidden="false" outlineLevel="0" max="9" min="9" style="0" width="4.89"/>
    <col collapsed="false" customWidth="true" hidden="false" outlineLevel="0" max="10" min="10" style="0" width="4.55"/>
    <col collapsed="false" customWidth="true" hidden="false" outlineLevel="0" max="11" min="11" style="0" width="6.34"/>
    <col collapsed="false" customWidth="true" hidden="false" outlineLevel="0" max="12" min="12" style="0" width="5.56"/>
    <col collapsed="false" customWidth="true" hidden="false" outlineLevel="0" max="13" min="13" style="0" width="12.67"/>
    <col collapsed="false" customWidth="true" hidden="false" outlineLevel="0" max="15" min="15" style="0" width="11.2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</row>
    <row r="2" customFormat="false" ht="14.25" hidden="false" customHeight="false" outlineLevel="0" collapsed="false">
      <c r="A2" s="1"/>
      <c r="B2" s="4"/>
      <c r="C2" s="2" t="s">
        <v>3</v>
      </c>
      <c r="D2" s="2"/>
      <c r="E2" s="2" t="s">
        <v>4</v>
      </c>
      <c r="F2" s="2"/>
      <c r="G2" s="2" t="s">
        <v>5</v>
      </c>
      <c r="H2" s="2"/>
      <c r="I2" s="2" t="s">
        <v>6</v>
      </c>
      <c r="J2" s="2"/>
      <c r="K2" s="2" t="s">
        <v>7</v>
      </c>
      <c r="L2" s="2"/>
      <c r="M2" s="2" t="s">
        <v>8</v>
      </c>
      <c r="N2" s="2" t="s">
        <v>9</v>
      </c>
      <c r="O2" s="2" t="s">
        <v>10</v>
      </c>
      <c r="P2" s="2" t="s">
        <v>11</v>
      </c>
      <c r="Q2" s="2" t="s">
        <v>12</v>
      </c>
    </row>
    <row r="3" customFormat="false" ht="14.25" hidden="false" customHeight="false" outlineLevel="0" collapsed="false">
      <c r="A3" s="1"/>
      <c r="B3" s="4"/>
      <c r="C3" s="3" t="s">
        <v>13</v>
      </c>
      <c r="D3" s="3" t="s">
        <v>14</v>
      </c>
      <c r="E3" s="3" t="s">
        <v>15</v>
      </c>
      <c r="F3" s="3" t="s">
        <v>14</v>
      </c>
      <c r="G3" s="3" t="s">
        <v>15</v>
      </c>
      <c r="H3" s="3" t="s">
        <v>14</v>
      </c>
      <c r="I3" s="3" t="s">
        <v>15</v>
      </c>
      <c r="J3" s="3" t="s">
        <v>14</v>
      </c>
      <c r="K3" s="3" t="s">
        <v>15</v>
      </c>
      <c r="L3" s="3" t="s">
        <v>14</v>
      </c>
      <c r="M3" s="2"/>
      <c r="N3" s="2"/>
      <c r="O3" s="2"/>
      <c r="P3" s="2"/>
      <c r="Q3" s="2"/>
    </row>
    <row r="4" customFormat="false" ht="16.4" hidden="false" customHeight="false" outlineLevel="0" collapsed="false">
      <c r="A4" s="1" t="n">
        <v>1</v>
      </c>
      <c r="B4" s="4" t="s">
        <v>16</v>
      </c>
      <c r="C4" s="3" t="n">
        <v>51</v>
      </c>
      <c r="D4" s="3" t="n">
        <v>33</v>
      </c>
      <c r="E4" s="3" t="n">
        <v>47</v>
      </c>
      <c r="F4" s="3" t="n">
        <v>31</v>
      </c>
      <c r="G4" s="3" t="n">
        <v>43</v>
      </c>
      <c r="H4" s="3" t="n">
        <v>36</v>
      </c>
      <c r="I4" s="3" t="n">
        <v>47</v>
      </c>
      <c r="J4" s="3" t="n">
        <v>32</v>
      </c>
      <c r="K4" s="3" t="n">
        <v>48</v>
      </c>
      <c r="L4" s="3" t="n">
        <v>31</v>
      </c>
      <c r="M4" s="3" t="n">
        <f aca="false">SUM(C4:L4)</f>
        <v>399</v>
      </c>
      <c r="N4" s="3" t="n">
        <f aca="false">AVERAGE(C4:L4)</f>
        <v>39.9</v>
      </c>
      <c r="O4" s="3" t="n">
        <f aca="false">IF(OR(C4&lt;24,E4&lt;24,G4&lt;24,I4&lt;24,K4&lt;24),"NG",(M4/500)*100)</f>
        <v>79.8</v>
      </c>
      <c r="P4" s="3" t="str">
        <f aca="false">IF(O4="NG","NG",
IF(O4&gt;=90,"A+",
IF(O4&gt;=80,"A",
IF(O4&gt;=70,"B+",
IF(O4&gt;=60,"B",
IF(O4&gt;=50,"C+",
IF(O4&gt;=40,"C","NG")))))))</f>
        <v>B+</v>
      </c>
      <c r="Q4" s="3" t="str">
        <f aca="false">IF(O4="NG","Fail","Pass")</f>
        <v>Pass</v>
      </c>
    </row>
    <row r="5" customFormat="false" ht="16.4" hidden="false" customHeight="false" outlineLevel="0" collapsed="false">
      <c r="A5" s="1" t="n">
        <v>2</v>
      </c>
      <c r="B5" s="4" t="s">
        <v>17</v>
      </c>
      <c r="C5" s="3" t="n">
        <v>55</v>
      </c>
      <c r="D5" s="3" t="n">
        <v>37</v>
      </c>
      <c r="E5" s="3" t="n">
        <v>52</v>
      </c>
      <c r="F5" s="3" t="n">
        <v>38</v>
      </c>
      <c r="G5" s="3" t="n">
        <v>51</v>
      </c>
      <c r="H5" s="3" t="n">
        <v>35</v>
      </c>
      <c r="I5" s="3" t="n">
        <v>49</v>
      </c>
      <c r="J5" s="3" t="n">
        <v>35</v>
      </c>
      <c r="K5" s="3" t="n">
        <v>54</v>
      </c>
      <c r="L5" s="3" t="n">
        <v>38</v>
      </c>
      <c r="M5" s="3" t="n">
        <f aca="false">SUM(C5:L5)</f>
        <v>444</v>
      </c>
      <c r="N5" s="3" t="n">
        <f aca="false">AVERAGE(C5:L5)</f>
        <v>44.4</v>
      </c>
      <c r="O5" s="3" t="n">
        <f aca="false">IF(OR(C5&lt;24,E5&lt;24,G5&lt;24,I5&lt;24,K5&lt;24),"NG",(M5/500)*100)</f>
        <v>88.8</v>
      </c>
      <c r="P5" s="3" t="str">
        <f aca="false">IF(O5="NG","NG",
IF(O5&gt;=90,"A+",
IF(O5&gt;=80,"A",
IF(O5&gt;=70,"B+",
IF(O5&gt;=60,"B",
IF(O5&gt;=50,"C+",
IF(O5&gt;=40,"C","NG")))))))</f>
        <v>A</v>
      </c>
      <c r="Q5" s="3" t="str">
        <f aca="false">IF(O5="NG","Fail","Pass")</f>
        <v>Pass</v>
      </c>
    </row>
    <row r="6" customFormat="false" ht="16.4" hidden="false" customHeight="false" outlineLevel="0" collapsed="false">
      <c r="A6" s="1" t="n">
        <v>3</v>
      </c>
      <c r="B6" s="4" t="s">
        <v>18</v>
      </c>
      <c r="C6" s="3" t="n">
        <v>18</v>
      </c>
      <c r="D6" s="3" t="n">
        <v>23</v>
      </c>
      <c r="E6" s="3" t="n">
        <v>12</v>
      </c>
      <c r="F6" s="3" t="n">
        <v>23</v>
      </c>
      <c r="G6" s="3" t="n">
        <v>11</v>
      </c>
      <c r="H6" s="3" t="n">
        <v>15</v>
      </c>
      <c r="I6" s="3" t="n">
        <v>10</v>
      </c>
      <c r="J6" s="3" t="n">
        <v>12</v>
      </c>
      <c r="K6" s="3" t="n">
        <v>14</v>
      </c>
      <c r="L6" s="3" t="n">
        <v>16</v>
      </c>
      <c r="M6" s="3" t="n">
        <f aca="false">SUM(C6:L6)</f>
        <v>154</v>
      </c>
      <c r="N6" s="3" t="n">
        <f aca="false">AVERAGE(C6:L6)</f>
        <v>15.4</v>
      </c>
      <c r="O6" s="3" t="str">
        <f aca="false">IF(OR(C6&lt;24,E6&lt;24,G6&lt;24,I6&lt;24,K6&lt;24),"NG",(M6/500)*100)</f>
        <v>NG</v>
      </c>
      <c r="P6" s="3" t="str">
        <f aca="false">IF(O6="NG","NG",
IF(O6&gt;=90,"A+",
IF(O6&gt;=80,"A",
IF(O6&gt;=70,"B+",
IF(O6&gt;=60,"B",
IF(O6&gt;=50,"C+",
IF(O6&gt;=40,"C","NG")))))))</f>
        <v>NG</v>
      </c>
      <c r="Q6" s="3" t="str">
        <f aca="false">IF(O6="NG","Fail","Pass")</f>
        <v>Fail</v>
      </c>
    </row>
    <row r="7" customFormat="false" ht="16.4" hidden="false" customHeight="false" outlineLevel="0" collapsed="false">
      <c r="A7" s="1" t="n">
        <v>4</v>
      </c>
      <c r="B7" s="4" t="s">
        <v>19</v>
      </c>
      <c r="C7" s="3" t="n">
        <v>14</v>
      </c>
      <c r="D7" s="3" t="n">
        <v>17</v>
      </c>
      <c r="E7" s="3" t="n">
        <v>16</v>
      </c>
      <c r="F7" s="3" t="n">
        <v>19</v>
      </c>
      <c r="G7" s="3" t="n">
        <v>20</v>
      </c>
      <c r="H7" s="3" t="n">
        <v>12</v>
      </c>
      <c r="I7" s="3" t="n">
        <v>16</v>
      </c>
      <c r="J7" s="3" t="n">
        <v>26</v>
      </c>
      <c r="K7" s="3" t="n">
        <v>19</v>
      </c>
      <c r="L7" s="3" t="n">
        <v>15</v>
      </c>
      <c r="M7" s="3" t="n">
        <f aca="false">SUM(C7:L7)</f>
        <v>174</v>
      </c>
      <c r="N7" s="3" t="n">
        <f aca="false">AVERAGE(C7:L7)</f>
        <v>17.4</v>
      </c>
      <c r="O7" s="3" t="str">
        <f aca="false">IF(OR(C7&lt;24,E7&lt;24,G7&lt;24,I7&lt;24,K7&lt;24),"NG",(M7/500)*100)</f>
        <v>NG</v>
      </c>
      <c r="P7" s="3" t="str">
        <f aca="false">IF(O7="NG","NG",
IF(O7&gt;=90,"A+",
IF(O7&gt;=80,"A",
IF(O7&gt;=70,"B+",
IF(O7&gt;=60,"B",
IF(O7&gt;=50,"C+",
IF(O7&gt;=40,"C","NG")))))))</f>
        <v>NG</v>
      </c>
      <c r="Q7" s="3" t="str">
        <f aca="false">IF(O7="NG","Fail","Pass")</f>
        <v>Fail</v>
      </c>
    </row>
    <row r="8" customFormat="false" ht="16.4" hidden="false" customHeight="false" outlineLevel="0" collapsed="false">
      <c r="A8" s="1" t="n">
        <v>5</v>
      </c>
      <c r="B8" s="4" t="s">
        <v>20</v>
      </c>
      <c r="C8" s="3" t="n">
        <v>59</v>
      </c>
      <c r="D8" s="3" t="n">
        <v>39</v>
      </c>
      <c r="E8" s="3" t="n">
        <v>58</v>
      </c>
      <c r="F8" s="3" t="n">
        <v>37</v>
      </c>
      <c r="G8" s="3" t="n">
        <v>57</v>
      </c>
      <c r="H8" s="3" t="n">
        <v>38</v>
      </c>
      <c r="I8" s="3" t="n">
        <v>51</v>
      </c>
      <c r="J8" s="3" t="n">
        <v>35</v>
      </c>
      <c r="K8" s="3" t="n">
        <v>56</v>
      </c>
      <c r="L8" s="3" t="n">
        <v>36</v>
      </c>
      <c r="M8" s="3" t="n">
        <f aca="false">SUM(C8:L8)</f>
        <v>466</v>
      </c>
      <c r="N8" s="3" t="n">
        <f aca="false">AVERAGE(C8:L8)</f>
        <v>46.6</v>
      </c>
      <c r="O8" s="3" t="n">
        <f aca="false">IF(OR(C8&lt;24,E8&lt;24,G8&lt;24,I8&lt;24,K8&lt;24),"NG",(M8/500)*100)</f>
        <v>93.2</v>
      </c>
      <c r="P8" s="3" t="str">
        <f aca="false">IF(O8="NG","NG",
IF(O8&gt;=90,"A+",
IF(O8&gt;=80,"A",
IF(O8&gt;=70,"B+",
IF(O8&gt;=60,"B",
IF(O8&gt;=50,"C+",
IF(O8&gt;=40,"C","NG")))))))</f>
        <v>A+</v>
      </c>
      <c r="Q8" s="3" t="str">
        <f aca="false">IF(O8="NG","Fail","Pass")</f>
        <v>Pass</v>
      </c>
    </row>
    <row r="9" customFormat="false" ht="16.4" hidden="false" customHeight="false" outlineLevel="0" collapsed="false">
      <c r="A9" s="1" t="n">
        <v>6</v>
      </c>
      <c r="B9" s="4" t="s">
        <v>21</v>
      </c>
      <c r="C9" s="3" t="n">
        <v>20</v>
      </c>
      <c r="D9" s="3" t="n">
        <v>23</v>
      </c>
      <c r="E9" s="3" t="n">
        <v>26</v>
      </c>
      <c r="F9" s="3" t="n">
        <v>21</v>
      </c>
      <c r="G9" s="3" t="n">
        <v>19</v>
      </c>
      <c r="H9" s="3" t="n">
        <v>6</v>
      </c>
      <c r="I9" s="3" t="n">
        <v>22</v>
      </c>
      <c r="J9" s="3" t="n">
        <v>19</v>
      </c>
      <c r="K9" s="3" t="n">
        <v>15</v>
      </c>
      <c r="L9" s="3" t="n">
        <v>19</v>
      </c>
      <c r="M9" s="3" t="n">
        <f aca="false">SUM(C9:L9)</f>
        <v>190</v>
      </c>
      <c r="N9" s="3" t="n">
        <f aca="false">AVERAGE(C9:L9)</f>
        <v>19</v>
      </c>
      <c r="O9" s="3" t="str">
        <f aca="false">IF(OR(C9&lt;24,E9&lt;24,G9&lt;24,I9&lt;24,K9&lt;24),"NG",(M9/500)*100)</f>
        <v>NG</v>
      </c>
      <c r="P9" s="3" t="str">
        <f aca="false">IF(O9="NG","NG",
IF(O9&gt;=90,"A+",
IF(O9&gt;=80,"A",
IF(O9&gt;=70,"B+",
IF(O9&gt;=60,"B",
IF(O9&gt;=50,"C+",
IF(O9&gt;=40,"C","NG")))))))</f>
        <v>NG</v>
      </c>
      <c r="Q9" s="3" t="str">
        <f aca="false">IF(O9="NG","Fail","Pass")</f>
        <v>Fail</v>
      </c>
    </row>
  </sheetData>
  <mergeCells count="11">
    <mergeCell ref="C1:L1"/>
    <mergeCell ref="C2:D2"/>
    <mergeCell ref="E2:F2"/>
    <mergeCell ref="G2:H2"/>
    <mergeCell ref="I2:J2"/>
    <mergeCell ref="K2:L2"/>
    <mergeCell ref="M2:M3"/>
    <mergeCell ref="N2:N3"/>
    <mergeCell ref="O2:O3"/>
    <mergeCell ref="P2:P3"/>
    <mergeCell ref="Q2:Q3"/>
  </mergeCells>
  <conditionalFormatting sqref="G12 C4:C9 E4:E9 G4:G9 I4:I9 K4:K9">
    <cfRule type="cellIs" priority="2" operator="greaterThan" aboveAverage="0" equalAverage="0" bottom="0" percent="0" rank="0" text="" dxfId="0">
      <formula>24</formula>
    </cfRule>
  </conditionalFormatting>
  <conditionalFormatting sqref="C4:C9 E4:E9 G4:G9 I4:I9 K4:K9">
    <cfRule type="cellIs" priority="3" operator="lessThan" aboveAverage="0" equalAverage="0" bottom="0" percent="0" rank="0" text="" dxfId="1">
      <formula>24</formula>
    </cfRule>
  </conditionalFormatting>
  <conditionalFormatting sqref="Q4:Q9">
    <cfRule type="cellIs" priority="4" operator="equal" aboveAverage="0" equalAverage="0" bottom="0" percent="0" rank="0" text="" dxfId="2">
      <formula>"PASS"</formula>
    </cfRule>
    <cfRule type="cellIs" priority="5" operator="equal" aboveAverage="0" equalAverage="0" bottom="0" percent="0" rank="0" text="" dxfId="3">
      <formula>"FAIL"</formula>
    </cfRule>
  </conditionalFormatting>
  <conditionalFormatting sqref="O4:P9">
    <cfRule type="cellIs" priority="6" operator="equal" aboveAverage="0" equalAverage="0" bottom="0" percent="0" rank="0" text="" dxfId="4">
      <formula>"NG"</formula>
    </cfRule>
    <cfRule type="cellIs" priority="7" operator="equal" aboveAverage="0" equalAverage="0" bottom="0" percent="0" rank="0" text="" dxfId="5">
      <formula>"NG"</formula>
    </cfRule>
  </conditionalFormatting>
  <conditionalFormatting sqref="O6">
    <cfRule type="colorScale" priority="8">
      <colorScale>
        <cfvo type="min" val="0"/>
        <cfvo type="max" val="0"/>
        <color rgb="FFFCFCFF"/>
        <color rgb="FF63BE7B"/>
      </colorScale>
    </cfRule>
  </conditionalFormatting>
  <conditionalFormatting sqref="Q4">
    <cfRule type="dataBar" priority="9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{14E11EE8-D876-41E6-BD83-2D34E47AA0A7}</x14:id>
        </ext>
      </extLst>
    </cfRule>
    <cfRule type="colorScale" priority="10">
      <colorScale>
        <cfvo type="min" val="0"/>
        <cfvo type="max" val="0"/>
        <color rgb="FFFCFCFF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E11EE8-D876-41E6-BD83-2D34E47AA0A7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Q4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2026-02-04T13:18:26Z</dcterms:created>
  <dc:creator>Pranish Shrestha</dc:creator>
  <dc:description/>
  <dc:language>en-US</dc:language>
  <cp:lastModifiedBy>Pranish Shrestha</cp:lastModifiedBy>
  <cp:lastPrinted>2026-02-14T17:46:41Z</cp:lastPrinted>
  <dcterms:modified xsi:type="dcterms:W3CDTF">2026-02-04T14:54:27Z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