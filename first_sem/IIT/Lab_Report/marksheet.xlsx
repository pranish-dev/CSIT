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nish\Documents\GitHub\CSIT\first_sem\IIT\Lab_Report\"/>
    </mc:Choice>
  </mc:AlternateContent>
  <xr:revisionPtr revIDLastSave="0" documentId="8_{4B1E09C4-790D-4229-8BA4-36AB96FE3C69}" xr6:coauthVersionLast="47" xr6:coauthVersionMax="47" xr10:uidLastSave="{00000000-0000-0000-0000-000000000000}"/>
  <bookViews>
    <workbookView xWindow="-108" yWindow="-108" windowWidth="23256" windowHeight="13176" xr2:uid="{D02E4D6E-DCC4-45A2-8021-EBAABBE15E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Q6" i="1" s="1"/>
  <c r="O7" i="1"/>
  <c r="Q7" i="1" s="1"/>
  <c r="O9" i="1"/>
  <c r="P9" i="1" s="1"/>
  <c r="N5" i="1"/>
  <c r="N6" i="1"/>
  <c r="N7" i="1"/>
  <c r="N8" i="1"/>
  <c r="N9" i="1"/>
  <c r="N4" i="1"/>
  <c r="M9" i="1"/>
  <c r="M5" i="1"/>
  <c r="O5" i="1" s="1"/>
  <c r="M6" i="1"/>
  <c r="M7" i="1"/>
  <c r="M8" i="1"/>
  <c r="O8" i="1" s="1"/>
  <c r="P8" i="1" s="1"/>
  <c r="M4" i="1"/>
  <c r="O4" i="1" s="1"/>
  <c r="Q9" i="1" l="1"/>
  <c r="Q5" i="1"/>
  <c r="P5" i="1"/>
  <c r="Q4" i="1"/>
  <c r="P4" i="1"/>
  <c r="Q8" i="1"/>
  <c r="P7" i="1"/>
  <c r="P6" i="1"/>
</calcChain>
</file>

<file path=xl/sharedStrings.xml><?xml version="1.0" encoding="utf-8"?>
<sst xmlns="http://schemas.openxmlformats.org/spreadsheetml/2006/main" count="29" uniqueCount="22">
  <si>
    <t>SN</t>
  </si>
  <si>
    <t>Name</t>
  </si>
  <si>
    <t>Subject</t>
  </si>
  <si>
    <t>IIT</t>
  </si>
  <si>
    <t>Digital Logic</t>
  </si>
  <si>
    <t>Physic</t>
  </si>
  <si>
    <t>TH</t>
  </si>
  <si>
    <t>PR</t>
  </si>
  <si>
    <t xml:space="preserve">TH </t>
  </si>
  <si>
    <t>C Programming</t>
  </si>
  <si>
    <t>Mathematics-I</t>
  </si>
  <si>
    <t>Mark Obtained</t>
  </si>
  <si>
    <t>Average</t>
  </si>
  <si>
    <t>Percentage</t>
  </si>
  <si>
    <t>Grade</t>
  </si>
  <si>
    <t>Result</t>
  </si>
  <si>
    <t>Suman Karki</t>
  </si>
  <si>
    <t>Pratima Shrestha</t>
  </si>
  <si>
    <t>Rojan Adhikari</t>
  </si>
  <si>
    <t>Nisha Thapa</t>
  </si>
  <si>
    <t>Gyani Ray</t>
  </si>
  <si>
    <t>Bikash Gurung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</si>
</sst>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/>
  </cellXfs>
  <cellStyles count="1">
    <cellStyle name="Normal" xfId="0" builtinId="0"/>
  </cellStyles>
  <dxfs count="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6C0BF-2794-4EA8-AF35-B1CB072B5C60}">
  <dimension ref="A1:Q9"/>
  <sheetViews>
    <sheetView tabSelected="1" workbookViewId="0">
      <selection activeCell="L16" sqref="L16"/>
    </sheetView>
  </sheetViews>
  <sheetFormatPr defaultRowHeight="14.4" x14ac:dyDescent="0.3"/>
  <cols>
    <col min="2" max="2" width="14.88671875" bestFit="1" customWidth="1"/>
    <col min="3" max="3" width="5" customWidth="1"/>
    <col min="4" max="4" width="4.5546875" customWidth="1"/>
    <col min="5" max="5" width="6.109375" customWidth="1"/>
    <col min="6" max="6" width="6.88671875" customWidth="1"/>
    <col min="7" max="7" width="5.33203125" customWidth="1"/>
    <col min="8" max="8" width="5.88671875" customWidth="1"/>
    <col min="9" max="9" width="4.88671875" customWidth="1"/>
    <col min="10" max="10" width="4.5546875" customWidth="1"/>
    <col min="11" max="11" width="6.33203125" customWidth="1"/>
    <col min="12" max="12" width="5.5546875" customWidth="1"/>
    <col min="13" max="13" width="12.6640625" bestFit="1" customWidth="1"/>
    <col min="15" max="15" width="11.21875" bestFit="1" customWidth="1"/>
  </cols>
  <sheetData>
    <row r="1" spans="1:17" x14ac:dyDescent="0.3">
      <c r="A1" s="1" t="s">
        <v>0</v>
      </c>
      <c r="B1" s="1" t="s">
        <v>1</v>
      </c>
      <c r="C1" s="2" t="s">
        <v>2</v>
      </c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</row>
    <row r="2" spans="1:17" x14ac:dyDescent="0.3">
      <c r="A2" s="1"/>
      <c r="B2" s="4"/>
      <c r="C2" s="2" t="s">
        <v>3</v>
      </c>
      <c r="D2" s="2"/>
      <c r="E2" s="2" t="s">
        <v>9</v>
      </c>
      <c r="F2" s="2"/>
      <c r="G2" s="2" t="s">
        <v>4</v>
      </c>
      <c r="H2" s="2"/>
      <c r="I2" s="2" t="s">
        <v>5</v>
      </c>
      <c r="J2" s="2"/>
      <c r="K2" s="2" t="s">
        <v>10</v>
      </c>
      <c r="L2" s="2"/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</row>
    <row r="3" spans="1:17" x14ac:dyDescent="0.3">
      <c r="A3" s="1"/>
      <c r="B3" s="4"/>
      <c r="C3" s="3" t="s">
        <v>8</v>
      </c>
      <c r="D3" s="3" t="s">
        <v>7</v>
      </c>
      <c r="E3" s="3" t="s">
        <v>6</v>
      </c>
      <c r="F3" s="3" t="s">
        <v>7</v>
      </c>
      <c r="G3" s="3" t="s">
        <v>6</v>
      </c>
      <c r="H3" s="3" t="s">
        <v>7</v>
      </c>
      <c r="I3" s="3" t="s">
        <v>6</v>
      </c>
      <c r="J3" s="3" t="s">
        <v>7</v>
      </c>
      <c r="K3" s="3" t="s">
        <v>6</v>
      </c>
      <c r="L3" s="3" t="s">
        <v>7</v>
      </c>
      <c r="M3" s="2"/>
      <c r="N3" s="2"/>
      <c r="O3" s="2"/>
      <c r="P3" s="2"/>
      <c r="Q3" s="2"/>
    </row>
    <row r="4" spans="1:17" x14ac:dyDescent="0.3">
      <c r="A4" s="1">
        <v>1</v>
      </c>
      <c r="B4" s="4" t="s">
        <v>16</v>
      </c>
      <c r="C4" s="3">
        <v>51</v>
      </c>
      <c r="D4" s="3">
        <v>33</v>
      </c>
      <c r="E4" s="3">
        <v>47</v>
      </c>
      <c r="F4" s="3">
        <v>31</v>
      </c>
      <c r="G4" s="3">
        <v>43</v>
      </c>
      <c r="H4" s="3">
        <v>36</v>
      </c>
      <c r="I4" s="3">
        <v>47</v>
      </c>
      <c r="J4" s="3">
        <v>32</v>
      </c>
      <c r="K4" s="3">
        <v>48</v>
      </c>
      <c r="L4" s="3">
        <v>31</v>
      </c>
      <c r="M4" s="3">
        <f>SUM(C4:L4)</f>
        <v>399</v>
      </c>
      <c r="N4" s="3">
        <f>AVERAGE(C4:L4)</f>
        <v>39.9</v>
      </c>
      <c r="O4" s="3">
        <f>IF(OR(C4&lt;24,E4&lt;24,G4&lt;24,I4&lt;24,K4&lt;24),"NG",(M4/500)*100)</f>
        <v>79.800000000000011</v>
      </c>
      <c r="P4" s="3" t="str">
        <f>IF(O4="NG","NG",
IF(O4&gt;=90,"A+",
IF(O4&gt;=80,"A",
IF(O4&gt;=70,"B+",
IF(O4&gt;=60,"B",
IF(O4&gt;=50,"C+",
IF(O4&gt;=40,"C","NG")))))))</f>
        <v>B+</v>
      </c>
      <c r="Q4" s="3" t="str">
        <f>IF(O4="NG","Fail","Pass")</f>
        <v>Pass</v>
      </c>
    </row>
    <row r="5" spans="1:17" x14ac:dyDescent="0.3">
      <c r="A5" s="1">
        <v>2</v>
      </c>
      <c r="B5" s="4" t="s">
        <v>17</v>
      </c>
      <c r="C5" s="3">
        <v>55</v>
      </c>
      <c r="D5" s="3">
        <v>37</v>
      </c>
      <c r="E5" s="3">
        <v>52</v>
      </c>
      <c r="F5" s="3">
        <v>38</v>
      </c>
      <c r="G5" s="3">
        <v>51</v>
      </c>
      <c r="H5" s="3">
        <v>35</v>
      </c>
      <c r="I5" s="3">
        <v>49</v>
      </c>
      <c r="J5" s="3">
        <v>35</v>
      </c>
      <c r="K5" s="3">
        <v>54</v>
      </c>
      <c r="L5" s="3">
        <v>38</v>
      </c>
      <c r="M5" s="3">
        <f t="shared" ref="M5:M9" si="0">SUM(C5:L5)</f>
        <v>444</v>
      </c>
      <c r="N5" s="3">
        <f t="shared" ref="N5:N9" si="1">AVERAGE(C5:L5)</f>
        <v>44.4</v>
      </c>
      <c r="O5" s="3">
        <f t="shared" ref="O5:O9" si="2">IF(OR(C5&lt;24,E5&lt;24,G5&lt;24,I5&lt;24,K5&lt;24),"NG",(M5/500)*100)</f>
        <v>88.8</v>
      </c>
      <c r="P5" s="3" t="str">
        <f t="shared" ref="P5:P9" si="3">IF(O5="NG","NG",
IF(O5&gt;=90,"A+",
IF(O5&gt;=80,"A",
IF(O5&gt;=70,"B+",
IF(O5&gt;=60,"B",
IF(O5&gt;=50,"C+",
IF(O5&gt;=40,"C","NG")))))))</f>
        <v>A</v>
      </c>
      <c r="Q5" s="3" t="str">
        <f t="shared" ref="Q5:Q9" si="4">IF(O5="NG","Fail","Pass")</f>
        <v>Pass</v>
      </c>
    </row>
    <row r="6" spans="1:17" x14ac:dyDescent="0.3">
      <c r="A6" s="1">
        <v>3</v>
      </c>
      <c r="B6" s="4" t="s">
        <v>18</v>
      </c>
      <c r="C6" s="3">
        <v>18</v>
      </c>
      <c r="D6" s="3">
        <v>23</v>
      </c>
      <c r="E6" s="3">
        <v>12</v>
      </c>
      <c r="F6" s="3">
        <v>23</v>
      </c>
      <c r="G6" s="3">
        <v>11</v>
      </c>
      <c r="H6" s="3">
        <v>15</v>
      </c>
      <c r="I6" s="3">
        <v>10</v>
      </c>
      <c r="J6" s="3">
        <v>12</v>
      </c>
      <c r="K6" s="3">
        <v>14</v>
      </c>
      <c r="L6" s="3">
        <v>16</v>
      </c>
      <c r="M6" s="3">
        <f t="shared" si="0"/>
        <v>154</v>
      </c>
      <c r="N6" s="3">
        <f t="shared" si="1"/>
        <v>15.4</v>
      </c>
      <c r="O6" s="3" t="str">
        <f t="shared" si="2"/>
        <v>NG</v>
      </c>
      <c r="P6" s="3" t="str">
        <f t="shared" si="3"/>
        <v>NG</v>
      </c>
      <c r="Q6" s="3" t="str">
        <f t="shared" si="4"/>
        <v>Fail</v>
      </c>
    </row>
    <row r="7" spans="1:17" x14ac:dyDescent="0.3">
      <c r="A7" s="1">
        <v>4</v>
      </c>
      <c r="B7" s="4" t="s">
        <v>19</v>
      </c>
      <c r="C7" s="3">
        <v>14</v>
      </c>
      <c r="D7" s="3">
        <v>17</v>
      </c>
      <c r="E7" s="3">
        <v>16</v>
      </c>
      <c r="F7" s="3">
        <v>19</v>
      </c>
      <c r="G7" s="3">
        <v>20</v>
      </c>
      <c r="H7" s="3">
        <v>12</v>
      </c>
      <c r="I7" s="3">
        <v>16</v>
      </c>
      <c r="J7" s="3">
        <v>26</v>
      </c>
      <c r="K7" s="3">
        <v>19</v>
      </c>
      <c r="L7" s="3">
        <v>15</v>
      </c>
      <c r="M7" s="3">
        <f t="shared" si="0"/>
        <v>174</v>
      </c>
      <c r="N7" s="3">
        <f t="shared" si="1"/>
        <v>17.399999999999999</v>
      </c>
      <c r="O7" s="3" t="str">
        <f t="shared" si="2"/>
        <v>NG</v>
      </c>
      <c r="P7" s="3" t="str">
        <f t="shared" si="3"/>
        <v>NG</v>
      </c>
      <c r="Q7" s="3" t="str">
        <f t="shared" si="4"/>
        <v>Fail</v>
      </c>
    </row>
    <row r="8" spans="1:17" x14ac:dyDescent="0.3">
      <c r="A8" s="1">
        <v>5</v>
      </c>
      <c r="B8" s="4" t="s">
        <v>20</v>
      </c>
      <c r="C8" s="3">
        <v>59</v>
      </c>
      <c r="D8" s="3">
        <v>39</v>
      </c>
      <c r="E8" s="3">
        <v>58</v>
      </c>
      <c r="F8" s="3">
        <v>37</v>
      </c>
      <c r="G8" s="3">
        <v>57</v>
      </c>
      <c r="H8" s="3">
        <v>38</v>
      </c>
      <c r="I8" s="3">
        <v>51</v>
      </c>
      <c r="J8" s="3">
        <v>35</v>
      </c>
      <c r="K8" s="3">
        <v>56</v>
      </c>
      <c r="L8" s="3">
        <v>36</v>
      </c>
      <c r="M8" s="3">
        <f t="shared" si="0"/>
        <v>466</v>
      </c>
      <c r="N8" s="3">
        <f t="shared" si="1"/>
        <v>46.6</v>
      </c>
      <c r="O8" s="3">
        <f t="shared" si="2"/>
        <v>93.2</v>
      </c>
      <c r="P8" s="3" t="str">
        <f t="shared" si="3"/>
        <v>A+</v>
      </c>
      <c r="Q8" s="3" t="str">
        <f t="shared" si="4"/>
        <v>Pass</v>
      </c>
    </row>
    <row r="9" spans="1:17" x14ac:dyDescent="0.3">
      <c r="A9" s="1">
        <v>6</v>
      </c>
      <c r="B9" s="4" t="s">
        <v>21</v>
      </c>
      <c r="C9" s="3">
        <v>20</v>
      </c>
      <c r="D9" s="3">
        <v>23</v>
      </c>
      <c r="E9" s="3">
        <v>26</v>
      </c>
      <c r="F9" s="3">
        <v>21</v>
      </c>
      <c r="G9" s="3">
        <v>19</v>
      </c>
      <c r="H9" s="3">
        <v>6</v>
      </c>
      <c r="I9" s="3">
        <v>22</v>
      </c>
      <c r="J9" s="3">
        <v>19</v>
      </c>
      <c r="K9" s="3">
        <v>15</v>
      </c>
      <c r="L9" s="3">
        <v>19</v>
      </c>
      <c r="M9" s="3">
        <f t="shared" si="0"/>
        <v>190</v>
      </c>
      <c r="N9" s="3">
        <f t="shared" si="1"/>
        <v>19</v>
      </c>
      <c r="O9" s="3" t="str">
        <f t="shared" si="2"/>
        <v>NG</v>
      </c>
      <c r="P9" s="3" t="str">
        <f t="shared" si="3"/>
        <v>NG</v>
      </c>
      <c r="Q9" s="3" t="str">
        <f t="shared" si="4"/>
        <v>Fail</v>
      </c>
    </row>
  </sheetData>
  <mergeCells count="11">
    <mergeCell ref="K2:L2"/>
    <mergeCell ref="M2:M3"/>
    <mergeCell ref="N2:N3"/>
    <mergeCell ref="O2:O3"/>
    <mergeCell ref="P2:P3"/>
    <mergeCell ref="Q2:Q3"/>
    <mergeCell ref="C2:D2"/>
    <mergeCell ref="E2:F2"/>
    <mergeCell ref="G2:H2"/>
    <mergeCell ref="I2:J2"/>
    <mergeCell ref="C1:L1"/>
  </mergeCells>
  <conditionalFormatting sqref="Q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{3F7B3983-C768-4FE4-9373-AA3DF098C55A}</x14:id>
        </ext>
      </extLst>
    </cfRule>
    <cfRule type="colorScale" priority="9">
      <colorScale>
        <cfvo type="min"/>
        <cfvo type="max"/>
        <color rgb="FFFCFCFF"/>
        <color rgb="FF63BE7B"/>
      </colorScale>
    </cfRule>
  </conditionalFormatting>
  <conditionalFormatting sqref="O6">
    <cfRule type="colorScale" priority="7">
      <colorScale>
        <cfvo type="min"/>
        <cfvo type="max"/>
        <color rgb="FFFCFCFF"/>
        <color rgb="FF63BE7B"/>
      </colorScale>
    </cfRule>
  </conditionalFormatting>
  <conditionalFormatting sqref="O4:P9">
    <cfRule type="cellIs" dxfId="4" priority="5" operator="equal">
      <formula>"NG"</formula>
    </cfRule>
    <cfRule type="cellIs" priority="6" operator="equal">
      <formula>"NG"</formula>
    </cfRule>
  </conditionalFormatting>
  <conditionalFormatting sqref="Q4:Q9">
    <cfRule type="cellIs" dxfId="3" priority="3" operator="equal">
      <formula>"PASS"</formula>
    </cfRule>
    <cfRule type="cellIs" dxfId="2" priority="4" operator="equal">
      <formula>"FAIL"</formula>
    </cfRule>
  </conditionalFormatting>
  <conditionalFormatting sqref="C4:C9 E4:E9 G4:G9 I4:I9 K4:K9">
    <cfRule type="cellIs" dxfId="1" priority="2" operator="lessThan">
      <formula>24</formula>
    </cfRule>
  </conditionalFormatting>
  <conditionalFormatting sqref="G12 C4:C9 E4:E9 G4:G9 I4:I9 K4:K9">
    <cfRule type="cellIs" dxfId="0" priority="1" operator="greaterThan">
      <formula>24</formula>
    </cfRule>
  </conditionalFormatting>
  <pageMargins left="0.7" right="0.7" top="0.75" bottom="0.75" header="0.3" footer="0.3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7B3983-C768-4FE4-9373-AA3DF098C5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Pranish Shrestha</dc:creator>
  <cp:lastModifiedBy>Pranish Shrestha</cp:lastModifiedBy>
  <cp:lastPrinted>2026-02-04T14:53:31Z</cp:lastPrinted>
  <dcterms:created xsi:type="dcterms:W3CDTF">2026-02-04T13:18:26Z</dcterms:created>
  <dcterms:modified xsi:type="dcterms:W3CDTF">2026-02-04T14:54:27Z</dcterms:modified>
</cp:coreProperties>
</file>