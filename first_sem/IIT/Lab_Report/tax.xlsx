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ish\Documents\GitHub\CSIT\first_sem\IIT\Lab_Report\"/>
    </mc:Choice>
  </mc:AlternateContent>
  <xr:revisionPtr revIDLastSave="0" documentId="8_{BEF8E5DE-9F70-46D5-B2D6-9C77A7B37CC0}" xr6:coauthVersionLast="47" xr6:coauthVersionMax="47" xr10:uidLastSave="{00000000-0000-0000-0000-000000000000}"/>
  <bookViews>
    <workbookView xWindow="-108" yWindow="-108" windowWidth="23256" windowHeight="13176" xr2:uid="{9AF68AE4-3372-47A1-972B-D2CEA5B05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  <c r="G2" i="1"/>
  <c r="G3" i="1"/>
  <c r="G4" i="1"/>
  <c r="G5" i="1"/>
  <c r="G6" i="1"/>
  <c r="G7" i="1"/>
  <c r="F3" i="1"/>
  <c r="F4" i="1"/>
  <c r="F5" i="1"/>
  <c r="F6" i="1"/>
  <c r="F7" i="1"/>
  <c r="F2" i="1"/>
  <c r="D3" i="1"/>
  <c r="D4" i="1"/>
  <c r="D5" i="1"/>
  <c r="D6" i="1"/>
  <c r="D7" i="1"/>
  <c r="D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<sst xmlns="http://schemas.openxmlformats.org/spreadsheetml/2006/main" count="14" uniqueCount="14">
  <si>
    <t>Name</t>
  </si>
  <si>
    <t>Basic</t>
  </si>
  <si>
    <t>HRA</t>
  </si>
  <si>
    <t>TA</t>
  </si>
  <si>
    <t>Deductions</t>
  </si>
  <si>
    <t>Gross Pay</t>
  </si>
  <si>
    <t>Tax</t>
  </si>
  <si>
    <t>Net Pay</t>
  </si>
  <si>
    <t>Suman Karki</t>
  </si>
  <si>
    <t>Pratima Shrestha</t>
  </si>
  <si>
    <t>Rojan Adhikari</t>
  </si>
  <si>
    <t>Nisha Thapa</t>
  </si>
  <si>
    <t>Gyani Ray</t>
  </si>
  <si>
    <t>Bikash Gurung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</si>
</sst>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F6CB-B0E6-43FC-AAC5-820F911875DF}">
  <dimension ref="A1:H7"/>
  <sheetViews>
    <sheetView tabSelected="1" workbookViewId="0">
      <selection activeCell="G14" sqref="G14"/>
    </sheetView>
  </sheetViews>
  <sheetFormatPr defaultRowHeight="14.4" x14ac:dyDescent="0.3"/>
  <cols>
    <col min="1" max="1" width="14.88671875" bestFit="1" customWidth="1"/>
    <col min="5" max="5" width="10.109375" bestFit="1" customWidth="1"/>
    <col min="6" max="6" width="9" bestFit="1" customWidth="1"/>
    <col min="7" max="7" width="10" customWidth="1"/>
    <col min="8" max="8" width="7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 s="1" t="s">
        <v>8</v>
      </c>
      <c r="B2" s="1">
        <v>25000</v>
      </c>
      <c r="C2" s="1">
        <f>50%*B2</f>
        <v>12500</v>
      </c>
      <c r="D2" s="1">
        <f>10%*B2</f>
        <v>2500</v>
      </c>
      <c r="E2" s="1">
        <v>0</v>
      </c>
      <c r="F2" s="1">
        <f>SUM(B2:D2)-E2</f>
        <v>40000</v>
      </c>
      <c r="G2" s="1">
        <f>IF(F2&lt;=40000,F2*1%,IF(F2&lt;=60000,F2*10%,F2*20%))</f>
        <v>400</v>
      </c>
      <c r="H2" s="1">
        <f>F2-G2-E2</f>
        <v>39600</v>
      </c>
    </row>
    <row r="3" spans="1:8" x14ac:dyDescent="0.3">
      <c r="A3" s="1" t="s">
        <v>9</v>
      </c>
      <c r="B3" s="1">
        <v>30000</v>
      </c>
      <c r="C3" s="1">
        <f t="shared" ref="C3:C7" si="0">50%*B3</f>
        <v>15000</v>
      </c>
      <c r="D3" s="1">
        <f t="shared" ref="D3:D7" si="1">10%*B3</f>
        <v>3000</v>
      </c>
      <c r="E3" s="1">
        <v>0</v>
      </c>
      <c r="F3" s="1">
        <f t="shared" ref="F3:F7" si="2">SUM(B3:D3)-E3</f>
        <v>48000</v>
      </c>
      <c r="G3" s="1">
        <f>IF(F3&lt;=40000,F3*1%,IF(F3&lt;=60000,F3*10%,F3*20%))</f>
        <v>4800</v>
      </c>
      <c r="H3" s="1">
        <f t="shared" ref="H3:H7" si="3">F3-G3-E3</f>
        <v>43200</v>
      </c>
    </row>
    <row r="4" spans="1:8" x14ac:dyDescent="0.3">
      <c r="A4" s="1" t="s">
        <v>10</v>
      </c>
      <c r="B4" s="1">
        <v>20000</v>
      </c>
      <c r="C4" s="1">
        <f t="shared" si="0"/>
        <v>10000</v>
      </c>
      <c r="D4" s="1">
        <f t="shared" si="1"/>
        <v>2000</v>
      </c>
      <c r="E4" s="1">
        <v>0</v>
      </c>
      <c r="F4" s="1">
        <f t="shared" si="2"/>
        <v>32000</v>
      </c>
      <c r="G4" s="1">
        <f t="shared" ref="G3:G7" si="4">IF(F4&lt;=40000,F4*1%,IF(F4&lt;=60000,F4*10%,F4*20%))</f>
        <v>320</v>
      </c>
      <c r="H4" s="1">
        <f t="shared" si="3"/>
        <v>31680</v>
      </c>
    </row>
    <row r="5" spans="1:8" x14ac:dyDescent="0.3">
      <c r="A5" s="1" t="s">
        <v>11</v>
      </c>
      <c r="B5" s="1">
        <v>40000</v>
      </c>
      <c r="C5" s="1">
        <f t="shared" si="0"/>
        <v>20000</v>
      </c>
      <c r="D5" s="1">
        <f t="shared" si="1"/>
        <v>4000</v>
      </c>
      <c r="E5" s="1">
        <v>0</v>
      </c>
      <c r="F5" s="1">
        <f t="shared" si="2"/>
        <v>64000</v>
      </c>
      <c r="G5" s="1">
        <f t="shared" si="4"/>
        <v>12800</v>
      </c>
      <c r="H5" s="1">
        <f t="shared" si="3"/>
        <v>51200</v>
      </c>
    </row>
    <row r="6" spans="1:8" x14ac:dyDescent="0.3">
      <c r="A6" s="1" t="s">
        <v>12</v>
      </c>
      <c r="B6" s="1">
        <v>50000</v>
      </c>
      <c r="C6" s="1">
        <f t="shared" si="0"/>
        <v>25000</v>
      </c>
      <c r="D6" s="1">
        <f t="shared" si="1"/>
        <v>5000</v>
      </c>
      <c r="E6" s="1">
        <v>0</v>
      </c>
      <c r="F6" s="1">
        <f t="shared" si="2"/>
        <v>80000</v>
      </c>
      <c r="G6" s="1">
        <f t="shared" si="4"/>
        <v>16000</v>
      </c>
      <c r="H6" s="1">
        <f t="shared" si="3"/>
        <v>64000</v>
      </c>
    </row>
    <row r="7" spans="1:8" x14ac:dyDescent="0.3">
      <c r="A7" s="1" t="s">
        <v>13</v>
      </c>
      <c r="B7" s="1">
        <v>45000</v>
      </c>
      <c r="C7" s="1">
        <f t="shared" si="0"/>
        <v>22500</v>
      </c>
      <c r="D7" s="1">
        <f t="shared" si="1"/>
        <v>4500</v>
      </c>
      <c r="E7" s="1">
        <v>0</v>
      </c>
      <c r="F7" s="1">
        <f t="shared" si="2"/>
        <v>72000</v>
      </c>
      <c r="G7" s="1">
        <f t="shared" si="4"/>
        <v>14400</v>
      </c>
      <c r="H7" s="1">
        <f t="shared" si="3"/>
        <v>57600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Pranish Shrestha</dc:creator>
  <cp:lastModifiedBy>Pranish Shrestha</cp:lastModifiedBy>
  <cp:lastPrinted>2026-02-04T15:30:53Z</cp:lastPrinted>
  <dcterms:created xsi:type="dcterms:W3CDTF">2026-02-04T15:18:08Z</dcterms:created>
  <dcterms:modified xsi:type="dcterms:W3CDTF">2026-02-04T16:12:23Z</dcterms:modified>
</cp:coreProperties>
</file>